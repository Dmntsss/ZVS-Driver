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4"/>
  </sheets>
  <definedNames/>
  <calcPr/>
</workbook>
</file>

<file path=xl/sharedStrings.xml><?xml version="1.0" encoding="utf-8"?>
<sst xmlns="http://schemas.openxmlformats.org/spreadsheetml/2006/main" count="48" uniqueCount="48">
  <si>
    <t>1x 63V 470uf capacitors</t>
  </si>
  <si>
    <t>https://grobotronics.com/electrolytic-capacitor-63v-470uf.html</t>
  </si>
  <si>
    <t>1x 100V 3.3nf capacitor</t>
  </si>
  <si>
    <t>https://grobotronics.com/100v.html</t>
  </si>
  <si>
    <t>1xLM317T regulator</t>
  </si>
  <si>
    <t>https://grobotronics.com/voltage-regulator-lm317t.html</t>
  </si>
  <si>
    <t>1x 330nf capacitor</t>
  </si>
  <si>
    <t>https://grobotronics.com/capacitor-ceramic-monolithic-330nf-100v.html</t>
  </si>
  <si>
    <t>1x 10uf capacitor</t>
  </si>
  <si>
    <t>https://grobotronics.com/electrolytic-capacitor-63v-10uf.html</t>
  </si>
  <si>
    <t>3x MOSFET transistors (SI7336ADP)</t>
  </si>
  <si>
    <t>https://gr.mouser.com/ProductDetail/Vishay-Semiconductors/SI7336ADP-T1-E3?qs=jcx%252B0HVgj2a3oLJB1ucsLA%3D%3D</t>
  </si>
  <si>
    <t>1x 220uf capacitor</t>
  </si>
  <si>
    <t>https://grobotronics.com/electrolytic-capacitor-63v-220uf.html</t>
  </si>
  <si>
    <t>10x 56k Ω resistor</t>
  </si>
  <si>
    <t>https://grobotronics.com/1w-carbon-5.html?variation_id=7785</t>
  </si>
  <si>
    <t>10x 10k Ω resistor</t>
  </si>
  <si>
    <t>https://grobotronics.com/1w-carbon-5.html?variation_id=7766</t>
  </si>
  <si>
    <t>5x 1N4007 diode</t>
  </si>
  <si>
    <t>https://grobotronics.com/diode-rectifier-1a-1000v-1n4007.html</t>
  </si>
  <si>
    <t>10x resistor 100Ω</t>
  </si>
  <si>
    <t>https://grobotronics.com/1w-carbon-5.html</t>
  </si>
  <si>
    <t>10x resistor 10Ω</t>
  </si>
  <si>
    <t>https://grobotronics.com/1w-carbon-5.html?variation_id=7756</t>
  </si>
  <si>
    <t xml:space="preserve">2x zener diode (BZX84B8V2LY) </t>
  </si>
  <si>
    <t>https://gr.mouser.com/ProductDetail/ROHM-Semiconductor/BZX84B8V2LYT116?qs=QNEnbhJQKvZXG%252BzJEdIrEg%3D%3D</t>
  </si>
  <si>
    <t>2x shotkey diode (RB218T150NZ)</t>
  </si>
  <si>
    <t>https://gr.mouser.com/ProductDetail/ROHM-Semiconductor/RB218T150NZC9?qs=4v%252BiZTmLVHFz5rdNfEvATg%3D%3D</t>
  </si>
  <si>
    <t>1x 3.3 uf capacitor</t>
  </si>
  <si>
    <t>https://grobotronics.com/electrolytic-capacitor-450v-3.3uf.html</t>
  </si>
  <si>
    <t xml:space="preserve">4x 22uf inductor </t>
  </si>
  <si>
    <t>https://grobotronics.com/wire-inductor-22uh-3a.html</t>
  </si>
  <si>
    <t>2x 2.2uf inductor</t>
  </si>
  <si>
    <t>https://grobotronics.com/wire-inductor-2.2uh.html</t>
  </si>
  <si>
    <t>2x MOSFET transistors (BSO110N03MS)</t>
  </si>
  <si>
    <t>https://gr.mouser.com/ProductDetail/Infineon-Technologies/BSO110N03MSGXUMA1?qs=K00xGehIljs3oBV%2FXCmOmQ%3D%3D&amp;srsltid=AfmBOopmdta3P-H_E67yKSCq_sTY7DXCluxeTr7JEChoPAUayo1KuS3V</t>
  </si>
  <si>
    <t xml:space="preserve">10x 1k Ω resistor </t>
  </si>
  <si>
    <t>https://grobotronics.com/1w-carbon-5.html?variation_id=7763</t>
  </si>
  <si>
    <t>10x 560 Ω resistor</t>
  </si>
  <si>
    <t>https://grobotronics.com/1w-carbon-5.html?variation_id=7761</t>
  </si>
  <si>
    <t>10x 120Ω resistor</t>
  </si>
  <si>
    <t>https://grobotronics.com/1w-carbon-5.html?variation_id=7758</t>
  </si>
  <si>
    <t>1x 100x100 mm perfboard</t>
  </si>
  <si>
    <t>https://grobotronics.com/prototyping-board-100x100mm-double-sided.html</t>
  </si>
  <si>
    <t>2x heatsinks for the shotkey diodes</t>
  </si>
  <si>
    <t>https://grobotronics.com/heatsink-to-220-19.1x13x6.4mm.html</t>
  </si>
  <si>
    <t>the mosfet sinking will be done to the perfboard itself by connecting multiple pads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</si>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</sst>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robotronics.com/1w-carbon-5.html?variation_id=7761" TargetMode="External"/><Relationship Id="rId11" Type="http://schemas.openxmlformats.org/officeDocument/2006/relationships/hyperlink" Target="https://grobotronics.com/1w-carbon-5.html" TargetMode="External"/><Relationship Id="rId22" Type="http://schemas.openxmlformats.org/officeDocument/2006/relationships/hyperlink" Target="https://grobotronics.com/prototyping-board-100x100mm-double-sided.html" TargetMode="External"/><Relationship Id="rId10" Type="http://schemas.openxmlformats.org/officeDocument/2006/relationships/hyperlink" Target="https://grobotronics.com/diode-rectifier-1a-1000v-1n4007.html" TargetMode="External"/><Relationship Id="rId21" Type="http://schemas.openxmlformats.org/officeDocument/2006/relationships/hyperlink" Target="https://grobotronics.com/1w-carbon-5.html?variation_id=7758" TargetMode="External"/><Relationship Id="rId13" Type="http://schemas.openxmlformats.org/officeDocument/2006/relationships/hyperlink" Target="https://gr.mouser.com/ProductDetail/ROHM-Semiconductor/BZX84B8V2LYT116?qs=QNEnbhJQKvZXG%252BzJEdIrEg%3D%3D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grobotronics.com/1w-carbon-5.html?variation_id=7756" TargetMode="External"/><Relationship Id="rId23" Type="http://schemas.openxmlformats.org/officeDocument/2006/relationships/hyperlink" Target="https://grobotronics.com/heatsink-to-220-19.1x13x6.4mm.html" TargetMode="External"/><Relationship Id="rId1" Type="http://schemas.openxmlformats.org/officeDocument/2006/relationships/hyperlink" Target="https://grobotronics.com/electrolytic-capacitor-63v-470uf.html" TargetMode="External"/><Relationship Id="rId2" Type="http://schemas.openxmlformats.org/officeDocument/2006/relationships/hyperlink" Target="https://grobotronics.com/100v.html" TargetMode="External"/><Relationship Id="rId3" Type="http://schemas.openxmlformats.org/officeDocument/2006/relationships/hyperlink" Target="https://grobotronics.com/voltage-regulator-lm317t.html" TargetMode="External"/><Relationship Id="rId4" Type="http://schemas.openxmlformats.org/officeDocument/2006/relationships/hyperlink" Target="https://grobotronics.com/capacitor-ceramic-monolithic-330nf-100v.html" TargetMode="External"/><Relationship Id="rId9" Type="http://schemas.openxmlformats.org/officeDocument/2006/relationships/hyperlink" Target="https://grobotronics.com/1w-carbon-5.html?variation_id=7766" TargetMode="External"/><Relationship Id="rId15" Type="http://schemas.openxmlformats.org/officeDocument/2006/relationships/hyperlink" Target="https://grobotronics.com/electrolytic-capacitor-450v-3.3uf.html" TargetMode="External"/><Relationship Id="rId14" Type="http://schemas.openxmlformats.org/officeDocument/2006/relationships/hyperlink" Target="https://gr.mouser.com/ProductDetail/ROHM-Semiconductor/RB218T150NZC9?qs=4v%252BiZTmLVHFz5rdNfEvATg%3D%3D" TargetMode="External"/><Relationship Id="rId17" Type="http://schemas.openxmlformats.org/officeDocument/2006/relationships/hyperlink" Target="https://grobotronics.com/wire-inductor-2.2uh.html" TargetMode="External"/><Relationship Id="rId16" Type="http://schemas.openxmlformats.org/officeDocument/2006/relationships/hyperlink" Target="https://grobotronics.com/wire-inductor-22uh-3a.html" TargetMode="External"/><Relationship Id="rId5" Type="http://schemas.openxmlformats.org/officeDocument/2006/relationships/hyperlink" Target="https://grobotronics.com/electrolytic-capacitor-63v-10uf.html" TargetMode="External"/><Relationship Id="rId19" Type="http://schemas.openxmlformats.org/officeDocument/2006/relationships/hyperlink" Target="https://grobotronics.com/1w-carbon-5.html?variation_id=7763" TargetMode="External"/><Relationship Id="rId6" Type="http://schemas.openxmlformats.org/officeDocument/2006/relationships/hyperlink" Target="https://gr.mouser.com/ProductDetail/Vishay-Semiconductors/SI7336ADP-T1-E3?qs=jcx%252B0HVgj2a3oLJB1ucsLA%3D%3D" TargetMode="External"/><Relationship Id="rId18" Type="http://schemas.openxmlformats.org/officeDocument/2006/relationships/hyperlink" Target="https://gr.mouser.com/ProductDetail/Infineon-Technologies/BSO110N03MSGXUMA1?qs=K00xGehIljs3oBV%2FXCmOmQ%3D%3D&amp;srsltid=AfmBOopmdta3P-H_E67yKSCq_sTY7DXCluxeTr7JEChoPAUayo1KuS3V" TargetMode="External"/><Relationship Id="rId7" Type="http://schemas.openxmlformats.org/officeDocument/2006/relationships/hyperlink" Target="https://grobotronics.com/electrolytic-capacitor-63v-220uf.html" TargetMode="External"/><Relationship Id="rId8" Type="http://schemas.openxmlformats.org/officeDocument/2006/relationships/hyperlink" Target="https://grobotronics.com/1w-carbon-5.html?variation_id=77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47.13"/>
  </cols>
  <sheetData>
    <row r="1">
      <c r="A1" s="1" t="s">
        <v>0</v>
      </c>
      <c r="B1" s="2" t="s">
        <v>1</v>
      </c>
      <c r="C1" s="1">
        <v>0.35</v>
      </c>
    </row>
    <row r="2">
      <c r="A2" s="1" t="s">
        <v>2</v>
      </c>
      <c r="B2" s="3" t="s">
        <v>3</v>
      </c>
      <c r="C2" s="1">
        <v>0.08</v>
      </c>
    </row>
    <row r="3">
      <c r="A3" s="1" t="s">
        <v>4</v>
      </c>
      <c r="B3" s="2" t="s">
        <v>5</v>
      </c>
      <c r="C3" s="1">
        <v>0.4</v>
      </c>
    </row>
    <row r="4">
      <c r="A4" s="1" t="s">
        <v>6</v>
      </c>
      <c r="B4" s="2" t="s">
        <v>7</v>
      </c>
      <c r="C4" s="1">
        <v>0.25</v>
      </c>
    </row>
    <row r="5">
      <c r="A5" s="1" t="s">
        <v>8</v>
      </c>
      <c r="B5" s="2" t="s">
        <v>9</v>
      </c>
      <c r="C5" s="1">
        <v>0.03</v>
      </c>
    </row>
    <row r="6">
      <c r="A6" s="1" t="s">
        <v>10</v>
      </c>
      <c r="B6" s="2" t="s">
        <v>11</v>
      </c>
      <c r="C6" s="1">
        <v>4.23</v>
      </c>
    </row>
    <row r="7">
      <c r="A7" s="1" t="s">
        <v>12</v>
      </c>
      <c r="B7" s="2" t="s">
        <v>13</v>
      </c>
      <c r="C7" s="1">
        <v>0.15</v>
      </c>
    </row>
    <row r="8">
      <c r="A8" s="1" t="s">
        <v>14</v>
      </c>
      <c r="B8" s="2" t="s">
        <v>15</v>
      </c>
      <c r="C8" s="1">
        <v>0.04</v>
      </c>
    </row>
    <row r="9">
      <c r="A9" s="1" t="s">
        <v>16</v>
      </c>
      <c r="B9" s="2" t="s">
        <v>17</v>
      </c>
      <c r="C9" s="1">
        <v>0.04</v>
      </c>
    </row>
    <row r="10">
      <c r="A10" s="1" t="s">
        <v>18</v>
      </c>
      <c r="B10" s="2" t="s">
        <v>19</v>
      </c>
      <c r="C10" s="1">
        <v>0.04</v>
      </c>
    </row>
    <row r="11">
      <c r="A11" s="1" t="s">
        <v>20</v>
      </c>
      <c r="B11" s="2" t="s">
        <v>21</v>
      </c>
      <c r="C11" s="1">
        <v>0.04</v>
      </c>
    </row>
    <row r="12">
      <c r="A12" s="1" t="s">
        <v>22</v>
      </c>
      <c r="B12" s="2" t="s">
        <v>23</v>
      </c>
      <c r="C12" s="1">
        <v>0.04</v>
      </c>
    </row>
    <row r="13">
      <c r="A13" s="1" t="s">
        <v>24</v>
      </c>
      <c r="B13" s="3" t="s">
        <v>25</v>
      </c>
      <c r="C13" s="1">
        <v>0.58</v>
      </c>
    </row>
    <row r="14">
      <c r="A14" s="1" t="s">
        <v>26</v>
      </c>
      <c r="B14" s="2" t="s">
        <v>27</v>
      </c>
      <c r="C14" s="1">
        <v>3.98</v>
      </c>
    </row>
    <row r="15">
      <c r="A15" s="1" t="s">
        <v>28</v>
      </c>
      <c r="B15" s="3" t="s">
        <v>29</v>
      </c>
      <c r="C15" s="1">
        <v>0.8</v>
      </c>
    </row>
    <row r="16">
      <c r="A16" s="1" t="s">
        <v>30</v>
      </c>
      <c r="B16" s="2" t="s">
        <v>31</v>
      </c>
      <c r="C16" s="1">
        <f> 1.2*4</f>
        <v>4.8</v>
      </c>
    </row>
    <row r="17">
      <c r="A17" s="1" t="s">
        <v>32</v>
      </c>
      <c r="B17" s="3" t="s">
        <v>33</v>
      </c>
      <c r="C17" s="1">
        <v>0.6</v>
      </c>
    </row>
    <row r="18">
      <c r="A18" s="1" t="s">
        <v>34</v>
      </c>
      <c r="B18" s="3" t="s">
        <v>35</v>
      </c>
      <c r="C18" s="1">
        <v>1.98</v>
      </c>
    </row>
    <row r="19">
      <c r="A19" s="1" t="s">
        <v>36</v>
      </c>
      <c r="B19" s="2" t="s">
        <v>37</v>
      </c>
      <c r="C19" s="1">
        <v>0.04</v>
      </c>
    </row>
    <row r="20">
      <c r="A20" s="1" t="s">
        <v>38</v>
      </c>
      <c r="B20" s="2" t="s">
        <v>39</v>
      </c>
      <c r="C20" s="1">
        <v>0.04</v>
      </c>
    </row>
    <row r="21">
      <c r="A21" s="1" t="s">
        <v>40</v>
      </c>
      <c r="B21" s="2" t="s">
        <v>41</v>
      </c>
      <c r="C21" s="1">
        <v>0.04</v>
      </c>
    </row>
    <row r="22">
      <c r="A22" s="1" t="s">
        <v>42</v>
      </c>
      <c r="B22" s="2" t="s">
        <v>43</v>
      </c>
      <c r="C22" s="1">
        <v>2.4</v>
      </c>
    </row>
    <row r="23">
      <c r="A23" s="1" t="s">
        <v>44</v>
      </c>
      <c r="B23" s="2" t="s">
        <v>45</v>
      </c>
      <c r="C23" s="1">
        <v>2.4</v>
      </c>
    </row>
    <row r="24">
      <c r="A24" s="1" t="s">
        <v>46</v>
      </c>
    </row>
    <row r="25">
      <c r="A25" s="1" t="s">
        <v>47</v>
      </c>
      <c r="C25" s="4">
        <f>SUM(C1:C24)</f>
        <v>23.35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</hyperlinks>
  <drawing r:id="rId24"/>
</worksheet>
</file>